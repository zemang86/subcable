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m365-my.sharepoint.com/personal/msya_tm_com_my/Documents/Desktop/Sya/Laptop Sya/As and when/"/>
    </mc:Choice>
  </mc:AlternateContent>
  <xr:revisionPtr revIDLastSave="46" documentId="8_{A2648980-6ADA-468F-B66E-B643417A286A}" xr6:coauthVersionLast="47" xr6:coauthVersionMax="47" xr10:uidLastSave="{438180AD-F23F-4F12-B337-E9CF2AFBFE54}"/>
  <bookViews>
    <workbookView xWindow="-108" yWindow="-108" windowWidth="23256" windowHeight="12456" xr2:uid="{00000000-000D-0000-FFFF-FFFF00000000}"/>
  </bookViews>
  <sheets>
    <sheet name="Updated info 2026" sheetId="19" r:id="rId1"/>
    <sheet name="CLS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9" l="1"/>
  <c r="G17" i="19" l="1"/>
  <c r="F17" i="19"/>
  <c r="F40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Mohd Badlisyam Abu Bakar</author>
    <author>Syuhada Mohamed</author>
  </authors>
  <commentList>
    <comment ref="G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Mohd Badlisyam Abu Bakar:</t>
        </r>
        <r>
          <rPr>
            <sz val="9"/>
            <color indexed="81"/>
            <rFont val="Tahoma"/>
            <family val="2"/>
          </rPr>
          <t xml:space="preserve">
MY/SG-EU</t>
        </r>
      </text>
    </comment>
    <comment ref="G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Syuhada Mohamed:</t>
        </r>
        <r>
          <rPr>
            <sz val="9"/>
            <color indexed="81"/>
            <rFont val="Tahoma"/>
            <family val="2"/>
          </rPr>
          <t xml:space="preserve">
Longest distance Spore-Fujairah/Barka</t>
        </r>
      </text>
    </comment>
  </commentList>
</comments>
</file>

<file path=xl/sharedStrings.xml><?xml version="1.0" encoding="utf-8"?>
<sst xmlns="http://schemas.openxmlformats.org/spreadsheetml/2006/main" count="203" uniqueCount="137">
  <si>
    <t>No.</t>
  </si>
  <si>
    <t>Submarine Cable System</t>
  </si>
  <si>
    <t>Build (Year)</t>
  </si>
  <si>
    <t>RFS (Year)</t>
  </si>
  <si>
    <t>Distance of cable (fkm)</t>
  </si>
  <si>
    <t>Overall System Design Capacity</t>
  </si>
  <si>
    <t>(Gbps)</t>
  </si>
  <si>
    <t>(TM Portion only)</t>
  </si>
  <si>
    <t>Domestic or</t>
  </si>
  <si>
    <t>International cable</t>
  </si>
  <si>
    <t>International</t>
  </si>
  <si>
    <t>SEA-ME-WE 4</t>
  </si>
  <si>
    <t>APCN-2</t>
  </si>
  <si>
    <t>SAT3-WASC-SAFE</t>
  </si>
  <si>
    <t>DMCS</t>
  </si>
  <si>
    <t>AAG</t>
  </si>
  <si>
    <t>BDM</t>
  </si>
  <si>
    <t>CM</t>
  </si>
  <si>
    <t>Distance of cable (km)</t>
  </si>
  <si>
    <t>SMW-5</t>
  </si>
  <si>
    <t>BBG</t>
  </si>
  <si>
    <t>MCT</t>
  </si>
  <si>
    <t>Domestic</t>
  </si>
  <si>
    <t>AMERICAS</t>
  </si>
  <si>
    <t>ASIA PACIFIC</t>
  </si>
  <si>
    <t>DOMESTIC</t>
  </si>
  <si>
    <t>NuGate</t>
  </si>
  <si>
    <t>EUROPE</t>
  </si>
  <si>
    <t>REGION</t>
  </si>
  <si>
    <t>INTERNATIONAL</t>
  </si>
  <si>
    <t>Routes</t>
  </si>
  <si>
    <t>ASEAN</t>
  </si>
  <si>
    <t>IRU</t>
  </si>
  <si>
    <t>FLAG</t>
  </si>
  <si>
    <t>SKR1M</t>
  </si>
  <si>
    <t>Region</t>
  </si>
  <si>
    <t>Malaysia</t>
  </si>
  <si>
    <t>To Thailand, Singapore, Brunei, the Philippines, Vietnam, Hong Kong, Guam, Hawaii &amp; US mainland</t>
  </si>
  <si>
    <t>To Hong Kong, the Philippines, Taiwan, Mainland China, Korea, Singapore &amp; Japan</t>
  </si>
  <si>
    <t>To India, Middle East, Europe &amp; Singapore</t>
  </si>
  <si>
    <t>To Dumai, Indonesia</t>
  </si>
  <si>
    <t>To India, Africa &amp; Europe</t>
  </si>
  <si>
    <t>To Batam and Dumai, Indonesia</t>
  </si>
  <si>
    <t>To Cambodia &amp; Thailand</t>
  </si>
  <si>
    <t>Cherating, Mersing, Kuching, Bintulu, Miri and Kota Kinabalu</t>
  </si>
  <si>
    <t>Landing Points</t>
  </si>
  <si>
    <t>Karachi, Pakistan
Marseille, France
Melaka, Malaysia
Mumbai, India
Palermo, Italy
Satun, Thailand
Suez, Egypt
Tuas, Singapore</t>
  </si>
  <si>
    <t>Tanguisson Point, Guam
Tungku, Brunei
Vung Tau, Vietnam</t>
  </si>
  <si>
    <t>Mersing, Malaysia
San Luis Obispo, California, United States
Sri Racha, Thailand</t>
  </si>
  <si>
    <t xml:space="preserve">Kitaibaraki, Japan
Kuantan, Malaysia
Lantau Island, Hong Kong
</t>
  </si>
  <si>
    <t>Pusan, Korea, Rep.
Shantou, China
Tanshui, Taiwan</t>
  </si>
  <si>
    <t>Cotonou, Benin
Dakar, Senegal
Douala, Cameroon
Lagos, Nigeria</t>
  </si>
  <si>
    <t>FA-1</t>
  </si>
  <si>
    <t>Porthcurno, United Kingdom
Satun, Thailand
Shanghai, China
Songkhla, Thailand
Suez, Egypt</t>
  </si>
  <si>
    <t>Lantau Island, Hong Kong
Miura, Japan
Mumbai, India
Ninomiya, Japan
Palermo, Italy
Penang, Malaysia</t>
  </si>
  <si>
    <t>Alexandria, Egypt
Aqaba, Jordan
Estepona, Spain
Fujairah, United Arab Emirates
Jeddah, Saudi Arabia
Keoje, Korea, Rep.</t>
  </si>
  <si>
    <t>Island Park, New York, US
Northport, New York, US</t>
  </si>
  <si>
    <t>Plerin, France
Skewjack, United Kingdom</t>
  </si>
  <si>
    <t>Semenanjung, Sabah, Sarawak</t>
  </si>
  <si>
    <t>EUROPE-US</t>
  </si>
  <si>
    <t>MDSCS</t>
  </si>
  <si>
    <t>To Singapore, Batam, Jakarta</t>
  </si>
  <si>
    <t>To Fujairah, Barka, Mumbai, Mt. Lavinia, Chennai, &amp; Singapore</t>
  </si>
  <si>
    <t xml:space="preserve">To Marseille, Palermo, Turkey, Egypt, Saudi Arabia, Yemen, Djibouti, Pakistan, Oman, Qatar UAE, Sri Lanka, Myanmar, Bangladesh, Indonesia &amp; Singapore </t>
  </si>
  <si>
    <t>Stingray (Based on actual implementation data)</t>
  </si>
  <si>
    <t>-Lumut-Pulau Pangkor</t>
  </si>
  <si>
    <t>-Rompin-Pulau Tioman</t>
  </si>
  <si>
    <t>-Kuala Besut-Pulau Perhentian</t>
  </si>
  <si>
    <t>Kuakata, Bangladesh
Marmaris, Turkey
Matara, Sri Lanka
Medan, Indonesia
Melaka, Malaysia
Pathein, Myanmar</t>
  </si>
  <si>
    <t xml:space="preserve">Libreville, Gabon
Penang, Malaysia
Melkbosstrand, South Africa
Mtunzini, South Africa 
Sesimbra, Portugal
St Paul, La Reunion
</t>
  </si>
  <si>
    <t>SKRM</t>
  </si>
  <si>
    <r>
      <rPr>
        <i/>
        <sz val="11"/>
        <color theme="1"/>
        <rFont val="Calibri"/>
        <family val="2"/>
        <scheme val="minor"/>
      </rPr>
      <t>(7 LP)</t>
    </r>
    <r>
      <rPr>
        <sz val="11"/>
        <color theme="1"/>
        <rFont val="Calibri"/>
        <family val="2"/>
        <scheme val="minor"/>
      </rPr>
      <t xml:space="preserve">
Segmen 1: Mersing – Kuching 
Segmen 2: Kuching – Miri 
Segmen 3: Miri – Labuan
Segmen 4: Labuan – Tg. Aru 
Segmen 5: Tg. Aru – Cherating 
Segmen 6: Cherating – Mersing
Segmen 7: Miri – Bintulu 
Segmen 8: Kuching – Labuan </t>
    </r>
  </si>
  <si>
    <t>AFRICA</t>
  </si>
  <si>
    <t>1,051 (MY-JAPAN via HK)
1051 (MY-JAPAN via SG)</t>
  </si>
  <si>
    <t>To Hong Kong and Japan</t>
  </si>
  <si>
    <t>3333 (MY-THAI)
3333 (MY-CAM)</t>
  </si>
  <si>
    <r>
      <rPr>
        <i/>
        <sz val="11"/>
        <rFont val="Calibri"/>
        <family val="2"/>
        <scheme val="minor"/>
      </rPr>
      <t>(16 LP)</t>
    </r>
    <r>
      <rPr>
        <sz val="11"/>
        <rFont val="Calibri"/>
        <family val="2"/>
        <scheme val="minor"/>
      </rPr>
      <t xml:space="preserve">
Alexandria, Egypt
Annaba, Algeria
Bizerte, Tunisia
Chennai, India
Colombo, Sri Lanka
Cox’s Bazar, Bangladesh
Fujairah, United Arab Emirates
Jeddah, Saudi Arabia</t>
    </r>
  </si>
  <si>
    <r>
      <rPr>
        <i/>
        <sz val="11"/>
        <rFont val="Calibri"/>
        <family val="2"/>
        <scheme val="minor"/>
      </rPr>
      <t>(17LP + 4PoP)</t>
    </r>
    <r>
      <rPr>
        <sz val="11"/>
        <rFont val="Calibri"/>
        <family val="2"/>
        <scheme val="minor"/>
      </rPr>
      <t xml:space="preserve">
Abu Talat, Egypt
Catania, Italy
Djibouti City, Djibouti
Dumai, Indonesia
Kalba, Fujairah
Karachi, Pakistan
</t>
    </r>
    <r>
      <rPr>
        <b/>
        <sz val="11"/>
        <rFont val="Calibri"/>
        <family val="2"/>
        <scheme val="minor"/>
      </rPr>
      <t>Palermo PoP, Italy - Terrestrial
Interxion PoP, Marseilles France - Terrestrial</t>
    </r>
  </si>
  <si>
    <r>
      <t xml:space="preserve">Qalhat, Oman
Toulon, France
Tuas, Singapore
Yanbu, Saudi Arabia
Zafarana, Egypt
</t>
    </r>
    <r>
      <rPr>
        <b/>
        <sz val="11"/>
        <rFont val="Calibri"/>
        <family val="2"/>
        <scheme val="minor"/>
      </rPr>
      <t>Global Switch PoP, Singapore- Terrestrial
Equinix PoP SG3, Singapore - Terrestrial</t>
    </r>
  </si>
  <si>
    <r>
      <rPr>
        <i/>
        <sz val="11"/>
        <rFont val="Calibri"/>
        <family val="2"/>
        <scheme val="minor"/>
      </rPr>
      <t>(6LP + 2POP)</t>
    </r>
    <r>
      <rPr>
        <sz val="11"/>
        <rFont val="Calibri"/>
        <family val="2"/>
        <scheme val="minor"/>
      </rPr>
      <t xml:space="preserve">
Barka, Oman
Chennai, India
Fujairah, United Arab Emirates</t>
    </r>
  </si>
  <si>
    <r>
      <t xml:space="preserve">Mumbai, India
Penang, Malaysia
Mt Lavinia, Sri Lanka
</t>
    </r>
    <r>
      <rPr>
        <b/>
        <sz val="11"/>
        <rFont val="Calibri"/>
        <family val="2"/>
        <scheme val="minor"/>
      </rPr>
      <t>Global Switch PoP, Singapore- Terrestrial
Equinix PoP SG1, Singapore - Terrestrial</t>
    </r>
  </si>
  <si>
    <r>
      <rPr>
        <i/>
        <sz val="11"/>
        <rFont val="Calibri"/>
        <family val="2"/>
        <scheme val="minor"/>
      </rPr>
      <t>(10LP)</t>
    </r>
    <r>
      <rPr>
        <sz val="11"/>
        <rFont val="Calibri"/>
        <family val="2"/>
        <scheme val="minor"/>
      </rPr>
      <t xml:space="preserve">
Changi, Singapore
Keawaula, Hawaii, United States
La Union, Philippines
Lantau Island, Hong Kong</t>
    </r>
  </si>
  <si>
    <r>
      <rPr>
        <i/>
        <sz val="11"/>
        <rFont val="Calibri"/>
        <family val="2"/>
        <scheme val="minor"/>
      </rPr>
      <t>(10LP)</t>
    </r>
    <r>
      <rPr>
        <sz val="11"/>
        <rFont val="Calibri"/>
        <family val="2"/>
        <scheme val="minor"/>
      </rPr>
      <t xml:space="preserve">
Batangas, Philippines
Chikura, Japan
Chongming, China
Katong, Singapore
</t>
    </r>
  </si>
  <si>
    <r>
      <rPr>
        <i/>
        <sz val="11"/>
        <rFont val="Calibri"/>
        <family val="2"/>
        <scheme val="minor"/>
      </rPr>
      <t>(3LP)</t>
    </r>
    <r>
      <rPr>
        <sz val="11"/>
        <rFont val="Calibri"/>
        <family val="2"/>
        <scheme val="minor"/>
      </rPr>
      <t xml:space="preserve">
Batam, Indonesia
Dumai, Indonesia
Melaka, Malaysia</t>
    </r>
  </si>
  <si>
    <r>
      <rPr>
        <i/>
        <sz val="11"/>
        <rFont val="Calibri"/>
        <family val="2"/>
        <scheme val="minor"/>
      </rPr>
      <t>(2LP)</t>
    </r>
    <r>
      <rPr>
        <sz val="11"/>
        <rFont val="Calibri"/>
        <family val="2"/>
        <scheme val="minor"/>
      </rPr>
      <t xml:space="preserve">
Dumai, Indonesia
Melaka, Malaysia</t>
    </r>
  </si>
  <si>
    <r>
      <rPr>
        <i/>
        <sz val="11"/>
        <rFont val="Calibri"/>
        <family val="2"/>
        <scheme val="minor"/>
      </rPr>
      <t>(3LP)</t>
    </r>
    <r>
      <rPr>
        <sz val="11"/>
        <rFont val="Calibri"/>
        <family val="2"/>
        <scheme val="minor"/>
      </rPr>
      <t xml:space="preserve">
Cherating, Malaysia
Rayong, Thailand
Sihanoukville, Cambodia</t>
    </r>
  </si>
  <si>
    <r>
      <rPr>
        <i/>
        <sz val="11"/>
        <rFont val="Calibri"/>
        <family val="2"/>
        <scheme val="minor"/>
      </rPr>
      <t>(3POP)- consider as CLS</t>
    </r>
    <r>
      <rPr>
        <sz val="11"/>
        <rFont val="Calibri"/>
        <family val="2"/>
        <scheme val="minor"/>
      </rPr>
      <t xml:space="preserve">
POP: Equinix Singapore, Graha Pena Batam, Cyber Building Jakarta, </t>
    </r>
  </si>
  <si>
    <r>
      <rPr>
        <i/>
        <sz val="11"/>
        <rFont val="Calibri"/>
        <family val="2"/>
        <scheme val="minor"/>
      </rPr>
      <t>(16LP)</t>
    </r>
    <r>
      <rPr>
        <sz val="11"/>
        <rFont val="Calibri"/>
        <family val="2"/>
        <scheme val="minor"/>
      </rPr>
      <t xml:space="preserve">
Abidjan, Côte d'Ivoire
Accra, Ghana
Alta Vista, Canary Islands, Spain
Baie Jacotet, Mauritius
Cacuaco, Angola
Cochin, India</t>
    </r>
  </si>
  <si>
    <t>10,000 (MY-JAPAN)
9,500 (MY-HK)
9,500 (HK-JPN)</t>
  </si>
  <si>
    <t>BPS Bayan Baru-Pulau Jerjak-Seberang Jaya</t>
  </si>
  <si>
    <r>
      <rPr>
        <i/>
        <sz val="11"/>
        <color theme="1"/>
        <rFont val="Calibri"/>
        <family val="2"/>
        <scheme val="minor"/>
      </rPr>
      <t>(3LP)</t>
    </r>
    <r>
      <rPr>
        <sz val="11"/>
        <color theme="1"/>
        <rFont val="Calibri"/>
        <family val="2"/>
        <scheme val="minor"/>
      </rPr>
      <t xml:space="preserve">
Bayan Baru
Pulau Jerejak
Seberang Jaya</t>
    </r>
  </si>
  <si>
    <r>
      <rPr>
        <i/>
        <sz val="11"/>
        <color theme="1"/>
        <rFont val="Calibri"/>
        <family val="2"/>
        <scheme val="minor"/>
      </rPr>
      <t>(2LP)</t>
    </r>
    <r>
      <rPr>
        <sz val="11"/>
        <color theme="1"/>
        <rFont val="Calibri"/>
        <family val="2"/>
        <scheme val="minor"/>
      </rPr>
      <t xml:space="preserve">
Kuala Perlis
Langkawi</t>
    </r>
  </si>
  <si>
    <r>
      <rPr>
        <i/>
        <sz val="11"/>
        <color theme="1"/>
        <rFont val="Calibri"/>
        <family val="2"/>
        <scheme val="minor"/>
      </rPr>
      <t>(2LP)</t>
    </r>
    <r>
      <rPr>
        <sz val="11"/>
        <color theme="1"/>
        <rFont val="Calibri"/>
        <family val="2"/>
        <scheme val="minor"/>
      </rPr>
      <t xml:space="preserve"> 
Lumut
Pulau Pangkor</t>
    </r>
  </si>
  <si>
    <r>
      <rPr>
        <i/>
        <sz val="11"/>
        <color theme="1"/>
        <rFont val="Calibri"/>
        <family val="2"/>
        <scheme val="minor"/>
      </rPr>
      <t xml:space="preserve">(2LP)  </t>
    </r>
    <r>
      <rPr>
        <sz val="11"/>
        <color theme="1"/>
        <rFont val="Calibri"/>
        <family val="2"/>
        <scheme val="minor"/>
      </rPr>
      <t xml:space="preserve">
Rompin 
Pulau Tioman</t>
    </r>
  </si>
  <si>
    <t>Semenanjung</t>
  </si>
  <si>
    <r>
      <rPr>
        <i/>
        <sz val="11"/>
        <color theme="1"/>
        <rFont val="Calibri"/>
        <family val="2"/>
        <scheme val="minor"/>
      </rPr>
      <t>(6 LP) + 1 TIME Station</t>
    </r>
    <r>
      <rPr>
        <sz val="11"/>
        <color theme="1"/>
        <rFont val="Calibri"/>
        <family val="2"/>
        <scheme val="minor"/>
      </rPr>
      <t xml:space="preserve">
Segmen 1: Mersing – Kuching 
Segmen 2: Kuching – Bintulu 
Segmen 3: Bintulu – Miri 
Segmen 4: Miri –  Tg Aru KK 
Segmen 5: Tg Aru KK – Cherating 
</t>
    </r>
  </si>
  <si>
    <t>Activated Capacity</t>
  </si>
  <si>
    <t>698G Sg-France (Longest distance) AND 28Tbps MY-Sg (Shortest distance)</t>
  </si>
  <si>
    <t>Segment S 6020
Segment Q 1474</t>
  </si>
  <si>
    <t xml:space="preserve">1676(MY-HK)
799(SG-HK)
4940(HK-US)
</t>
  </si>
  <si>
    <t>No</t>
  </si>
  <si>
    <t>Cable Landing Station</t>
  </si>
  <si>
    <t>Cherating</t>
  </si>
  <si>
    <t>Mersing</t>
  </si>
  <si>
    <t>Kuala Muda</t>
  </si>
  <si>
    <t>Melaka</t>
  </si>
  <si>
    <t>Cahaya Malaysia</t>
  </si>
  <si>
    <t>APCN2</t>
  </si>
  <si>
    <t>SMW4</t>
  </si>
  <si>
    <t>SMW5</t>
  </si>
  <si>
    <t xml:space="preserve">SMW3 </t>
  </si>
  <si>
    <t>SAFE</t>
  </si>
  <si>
    <t>Kuching</t>
  </si>
  <si>
    <t>Bintulu</t>
  </si>
  <si>
    <t>Miri</t>
  </si>
  <si>
    <t>Labuan</t>
  </si>
  <si>
    <t>Tg Aru, KK</t>
  </si>
  <si>
    <t>Langkawi-Kuala Perlis</t>
  </si>
  <si>
    <t>STINGRAY II - Pulau Redang</t>
  </si>
  <si>
    <t>STINGRAY II - Pulau Ketam</t>
  </si>
  <si>
    <r>
      <rPr>
        <i/>
        <sz val="11"/>
        <color theme="1"/>
        <rFont val="Calibri"/>
        <family val="2"/>
        <scheme val="minor"/>
      </rPr>
      <t xml:space="preserve">(3LP) </t>
    </r>
    <r>
      <rPr>
        <sz val="12"/>
        <color theme="1"/>
        <rFont val="Calibri"/>
        <family val="2"/>
        <scheme val="minor"/>
      </rPr>
      <t xml:space="preserve">
Jeram
Sg Lima
Pulau Ketam</t>
    </r>
  </si>
  <si>
    <r>
      <rPr>
        <i/>
        <sz val="11"/>
        <color theme="1"/>
        <rFont val="Calibri"/>
        <family val="2"/>
        <scheme val="minor"/>
      </rPr>
      <t xml:space="preserve">(2LP) </t>
    </r>
    <r>
      <rPr>
        <sz val="12"/>
        <color theme="1"/>
        <rFont val="Calibri"/>
        <family val="2"/>
        <scheme val="minor"/>
      </rPr>
      <t xml:space="preserve">
Merang
Pulau Redang</t>
    </r>
  </si>
  <si>
    <r>
      <rPr>
        <i/>
        <sz val="11"/>
        <color theme="1"/>
        <rFont val="Calibri"/>
        <family val="2"/>
        <scheme val="minor"/>
      </rPr>
      <t xml:space="preserve">(2LP) </t>
    </r>
    <r>
      <rPr>
        <sz val="11"/>
        <color theme="1"/>
        <rFont val="Calibri"/>
        <family val="2"/>
        <scheme val="minor"/>
      </rPr>
      <t xml:space="preserve">
Kuala Besut
Pulau Perhentian (Besar &amp; Kecil)</t>
    </r>
  </si>
  <si>
    <r>
      <rPr>
        <i/>
        <sz val="11"/>
        <rFont val="Calibri"/>
        <family val="2"/>
        <scheme val="minor"/>
      </rPr>
      <t>CM (3LP)</t>
    </r>
    <r>
      <rPr>
        <sz val="11"/>
        <rFont val="Calibri"/>
        <family val="2"/>
        <scheme val="minor"/>
      </rPr>
      <t xml:space="preserve">
Shinmaruyama, Japan
Mersing, Malaysia 
Tseung Kwan O, Hong Kong
ASE ( 5LP )
Shinmaruyama, Japan
Tseung Kwan O, Hong Kong
East Coast, Singapore
Daet, Philippine
Okinawa, Japan
</t>
    </r>
  </si>
  <si>
    <t>EXISTING SYSTEMS</t>
  </si>
  <si>
    <t>ONGOING DEVELOPMENT SYSTEMS</t>
  </si>
  <si>
    <t>Sedili 1</t>
  </si>
  <si>
    <t>ALC</t>
  </si>
  <si>
    <t>AUG East</t>
  </si>
  <si>
    <t>Sedili 2</t>
  </si>
  <si>
    <t>Candle</t>
  </si>
  <si>
    <t xml:space="preserve">Morib </t>
  </si>
  <si>
    <t>SMW6</t>
  </si>
  <si>
    <t>SMW3 (retired)</t>
  </si>
  <si>
    <t>FLAG (retired)</t>
  </si>
  <si>
    <t>MDSCS (inactive)</t>
  </si>
  <si>
    <t>CABLE LANDING STATIONS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</si>
</sst>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#,##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00"/>
      <name val="Calibri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 applyAlignment="1">
      <alignment horizontal="left" vertical="center" indent="5"/>
    </xf>
    <xf numFmtId="0" fontId="0" fillId="3" borderId="0" xfId="0" applyFill="1"/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/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0" fillId="3" borderId="2" xfId="0" applyFill="1" applyBorder="1" applyAlignment="1">
      <alignment vertical="top" wrapText="1"/>
    </xf>
    <xf numFmtId="0" fontId="0" fillId="3" borderId="2" xfId="0" applyFill="1" applyBorder="1" applyAlignment="1">
      <alignment vertical="top"/>
    </xf>
    <xf numFmtId="0" fontId="0" fillId="0" borderId="0" xfId="0" applyAlignment="1">
      <alignment vertical="top"/>
    </xf>
    <xf numFmtId="3" fontId="0" fillId="5" borderId="2" xfId="0" applyNumberFormat="1" applyFill="1" applyBorder="1" applyAlignment="1">
      <alignment horizontal="right" vertical="center" wrapText="1"/>
    </xf>
    <xf numFmtId="0" fontId="2" fillId="6" borderId="0" xfId="0" applyFont="1" applyFill="1" applyAlignment="1">
      <alignment vertical="top"/>
    </xf>
    <xf numFmtId="0" fontId="0" fillId="6" borderId="0" xfId="0" applyFill="1"/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 wrapText="1"/>
    </xf>
    <xf numFmtId="0" fontId="6" fillId="0" borderId="0" xfId="0" applyFont="1"/>
    <xf numFmtId="0" fontId="6" fillId="0" borderId="0" xfId="0" applyFont="1" applyAlignment="1">
      <alignment vertical="top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/>
    </xf>
    <xf numFmtId="0" fontId="0" fillId="0" borderId="0" xfId="0" applyAlignment="1">
      <alignment horizontal="center"/>
    </xf>
    <xf numFmtId="0" fontId="0" fillId="4" borderId="2" xfId="0" applyFill="1" applyBorder="1" applyAlignment="1">
      <alignment horizontal="center" vertical="top" wrapText="1"/>
    </xf>
    <xf numFmtId="3" fontId="6" fillId="0" borderId="2" xfId="0" applyNumberFormat="1" applyFont="1" applyBorder="1" applyAlignment="1">
      <alignment horizontal="center" vertical="center" wrapText="1"/>
    </xf>
    <xf numFmtId="15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15" fontId="6" fillId="0" borderId="2" xfId="0" applyNumberFormat="1" applyFont="1" applyBorder="1" applyAlignment="1">
      <alignment horizontal="center" vertical="top" wrapText="1"/>
    </xf>
    <xf numFmtId="3" fontId="6" fillId="0" borderId="2" xfId="0" applyNumberFormat="1" applyFont="1" applyBorder="1" applyAlignment="1">
      <alignment horizontal="center" vertical="top" wrapText="1"/>
    </xf>
    <xf numFmtId="3" fontId="0" fillId="2" borderId="0" xfId="0" applyNumberFormat="1" applyFill="1" applyAlignment="1">
      <alignment horizontal="center"/>
    </xf>
    <xf numFmtId="164" fontId="0" fillId="0" borderId="0" xfId="1" applyFont="1" applyAlignment="1">
      <alignment horizontal="center"/>
    </xf>
    <xf numFmtId="3" fontId="0" fillId="5" borderId="2" xfId="0" applyNumberFormat="1" applyFill="1" applyBorder="1" applyAlignment="1">
      <alignment horizontal="center" vertical="center" wrapText="1"/>
    </xf>
    <xf numFmtId="17" fontId="0" fillId="3" borderId="2" xfId="0" applyNumberForma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 wrapText="1"/>
    </xf>
    <xf numFmtId="15" fontId="4" fillId="0" borderId="2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0" fillId="0" borderId="2" xfId="0" applyBorder="1" applyAlignment="1">
      <alignment horizontal="left" vertical="center" wrapText="1"/>
    </xf>
    <xf numFmtId="3" fontId="0" fillId="0" borderId="2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top" wrapText="1"/>
    </xf>
    <xf numFmtId="0" fontId="2" fillId="8" borderId="0" xfId="0" applyFont="1" applyFill="1" applyAlignment="1">
      <alignment vertical="top"/>
    </xf>
    <xf numFmtId="0" fontId="0" fillId="8" borderId="0" xfId="0" applyFill="1"/>
    <xf numFmtId="0" fontId="0" fillId="0" borderId="0" xfId="0" applyAlignment="1">
      <alignment vertical="center"/>
    </xf>
    <xf numFmtId="3" fontId="0" fillId="0" borderId="6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3" fontId="0" fillId="0" borderId="8" xfId="0" applyNumberForma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1" fillId="9" borderId="2" xfId="0" applyFont="1" applyFill="1" applyBorder="1" applyAlignment="1">
      <alignment horizontal="center" vertical="center"/>
    </xf>
    <xf numFmtId="0" fontId="0" fillId="10" borderId="6" xfId="0" applyFill="1" applyBorder="1" applyAlignment="1">
      <alignment vertical="center"/>
    </xf>
    <xf numFmtId="0" fontId="1" fillId="10" borderId="6" xfId="0" applyFont="1" applyFill="1" applyBorder="1" applyAlignment="1">
      <alignment vertical="center"/>
    </xf>
    <xf numFmtId="0" fontId="0" fillId="10" borderId="7" xfId="0" quotePrefix="1" applyFill="1" applyBorder="1" applyAlignment="1">
      <alignment vertical="center"/>
    </xf>
    <xf numFmtId="0" fontId="0" fillId="10" borderId="8" xfId="0" quotePrefix="1" applyFill="1" applyBorder="1" applyAlignment="1">
      <alignment vertical="center"/>
    </xf>
    <xf numFmtId="0" fontId="1" fillId="10" borderId="2" xfId="0" quotePrefix="1" applyFont="1" applyFill="1" applyBorder="1" applyAlignment="1">
      <alignment vertical="center"/>
    </xf>
    <xf numFmtId="3" fontId="6" fillId="0" borderId="2" xfId="0" applyNumberFormat="1" applyFont="1" applyBorder="1" applyAlignment="1">
      <alignment vertical="top" wrapText="1"/>
    </xf>
    <xf numFmtId="0" fontId="13" fillId="0" borderId="0" xfId="0" applyFont="1" applyAlignment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" fillId="4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" fontId="0" fillId="0" borderId="9" xfId="0" applyNumberFormat="1" applyBorder="1" applyAlignment="1">
      <alignment horizontal="center" vertical="center" wrapText="1"/>
    </xf>
    <xf numFmtId="17" fontId="0" fillId="0" borderId="10" xfId="0" applyNumberFormat="1" applyBorder="1" applyAlignment="1">
      <alignment horizontal="center" vertical="center" wrapText="1"/>
    </xf>
    <xf numFmtId="17" fontId="0" fillId="0" borderId="11" xfId="0" applyNumberForma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15" fontId="4" fillId="0" borderId="7" xfId="0" applyNumberFormat="1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2" fillId="0" borderId="2" xfId="2" applyBorder="1" applyAlignment="1">
      <alignment horizontal="left" vertical="top" wrapText="1"/>
    </xf>
    <xf numFmtId="0" fontId="12" fillId="0" borderId="2" xfId="2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5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M40"/>
  <sheetViews>
    <sheetView tabSelected="1" topLeftCell="A9" zoomScale="60" zoomScaleNormal="60" workbookViewId="0">
      <pane xSplit="3" topLeftCell="D1" activePane="topRight" state="frozen"/>
      <selection activeCell="A9" sqref="A9"/>
      <selection pane="topRight" activeCell="A41" sqref="A41:XFD55"/>
    </sheetView>
  </sheetViews>
  <sheetFormatPr defaultRowHeight="14.4" x14ac:dyDescent="0.3"/>
  <cols>
    <col min="1" max="1" width="4.21875" customWidth="1"/>
    <col min="2" max="2" width="12.6640625" customWidth="1"/>
    <col min="3" max="3" width="41" bestFit="1" customWidth="1"/>
    <col min="4" max="4" width="8.77734375" style="27" customWidth="1"/>
    <col min="5" max="5" width="10.5546875" style="27" customWidth="1"/>
    <col min="6" max="6" width="11.77734375" style="27" customWidth="1"/>
    <col min="7" max="8" width="22.44140625" style="27" hidden="1" customWidth="1"/>
    <col min="9" max="9" width="15.77734375" style="27" customWidth="1"/>
    <col min="10" max="10" width="31.5546875" customWidth="1"/>
    <col min="11" max="11" width="35.44140625" customWidth="1"/>
    <col min="12" max="12" width="26.44140625" customWidth="1"/>
    <col min="13" max="13" width="27.44140625" customWidth="1"/>
  </cols>
  <sheetData>
    <row r="2" spans="1:13" ht="18" x14ac:dyDescent="0.3">
      <c r="A2" s="51" t="s">
        <v>29</v>
      </c>
      <c r="B2" s="52"/>
      <c r="C2" s="52"/>
    </row>
    <row r="3" spans="1:13" s="2" customFormat="1" ht="28.8" x14ac:dyDescent="0.3">
      <c r="A3" s="70" t="s">
        <v>0</v>
      </c>
      <c r="B3" s="71" t="s">
        <v>28</v>
      </c>
      <c r="C3" s="70" t="s">
        <v>1</v>
      </c>
      <c r="D3" s="71" t="s">
        <v>2</v>
      </c>
      <c r="E3" s="71" t="s">
        <v>3</v>
      </c>
      <c r="F3" s="71" t="s">
        <v>18</v>
      </c>
      <c r="G3" s="49" t="s">
        <v>5</v>
      </c>
      <c r="H3" s="49"/>
      <c r="I3" s="49" t="s">
        <v>8</v>
      </c>
      <c r="J3" s="71" t="s">
        <v>30</v>
      </c>
      <c r="K3" s="71" t="s">
        <v>45</v>
      </c>
      <c r="L3" s="71"/>
      <c r="M3" s="71"/>
    </row>
    <row r="4" spans="1:13" s="2" customFormat="1" ht="28.8" x14ac:dyDescent="0.3">
      <c r="A4" s="70"/>
      <c r="B4" s="71"/>
      <c r="C4" s="70"/>
      <c r="D4" s="71"/>
      <c r="E4" s="71"/>
      <c r="F4" s="71"/>
      <c r="G4" s="49" t="s">
        <v>6</v>
      </c>
      <c r="H4" s="49"/>
      <c r="I4" s="49" t="s">
        <v>9</v>
      </c>
      <c r="J4" s="71"/>
      <c r="K4" s="71"/>
      <c r="L4" s="71"/>
      <c r="M4" s="71"/>
    </row>
    <row r="5" spans="1:13" s="2" customFormat="1" ht="33.75" customHeight="1" x14ac:dyDescent="0.3">
      <c r="A5" s="70"/>
      <c r="B5" s="71"/>
      <c r="C5" s="70"/>
      <c r="D5" s="71"/>
      <c r="E5" s="71"/>
      <c r="F5" s="71"/>
      <c r="G5" s="49" t="s">
        <v>7</v>
      </c>
      <c r="H5" s="49"/>
      <c r="I5" s="50"/>
      <c r="J5" s="71"/>
      <c r="K5" s="71"/>
      <c r="L5" s="71"/>
      <c r="M5" s="71"/>
    </row>
    <row r="6" spans="1:13" s="22" customFormat="1" ht="129.6" x14ac:dyDescent="0.3">
      <c r="A6" s="20">
        <v>1</v>
      </c>
      <c r="B6" s="72"/>
      <c r="C6" s="19" t="s">
        <v>11</v>
      </c>
      <c r="D6" s="20">
        <v>2004</v>
      </c>
      <c r="E6" s="30">
        <v>38678</v>
      </c>
      <c r="F6" s="29">
        <v>20000</v>
      </c>
      <c r="G6" s="20" t="s">
        <v>97</v>
      </c>
      <c r="H6" s="20"/>
      <c r="I6" s="20" t="s">
        <v>10</v>
      </c>
      <c r="J6" s="21" t="s">
        <v>39</v>
      </c>
      <c r="K6" s="21" t="s">
        <v>76</v>
      </c>
      <c r="L6" s="73" t="s">
        <v>46</v>
      </c>
      <c r="M6" s="73"/>
    </row>
    <row r="7" spans="1:13" s="22" customFormat="1" ht="144" x14ac:dyDescent="0.3">
      <c r="A7" s="20">
        <v>2</v>
      </c>
      <c r="B7" s="72"/>
      <c r="C7" s="19" t="s">
        <v>19</v>
      </c>
      <c r="D7" s="20">
        <v>2014</v>
      </c>
      <c r="E7" s="30">
        <v>42717</v>
      </c>
      <c r="F7" s="29">
        <v>20000</v>
      </c>
      <c r="G7" s="29">
        <v>2570</v>
      </c>
      <c r="H7" s="29"/>
      <c r="I7" s="20" t="s">
        <v>10</v>
      </c>
      <c r="J7" s="21" t="s">
        <v>63</v>
      </c>
      <c r="K7" s="21" t="s">
        <v>77</v>
      </c>
      <c r="L7" s="21" t="s">
        <v>68</v>
      </c>
      <c r="M7" s="21" t="s">
        <v>78</v>
      </c>
    </row>
    <row r="8" spans="1:13" s="22" customFormat="1" ht="57.6" x14ac:dyDescent="0.3">
      <c r="A8" s="20">
        <v>3</v>
      </c>
      <c r="B8" s="72"/>
      <c r="C8" s="19" t="s">
        <v>20</v>
      </c>
      <c r="D8" s="20">
        <v>2013</v>
      </c>
      <c r="E8" s="30">
        <v>42458</v>
      </c>
      <c r="F8" s="29">
        <v>8100</v>
      </c>
      <c r="G8" s="29" t="s">
        <v>98</v>
      </c>
      <c r="H8" s="29"/>
      <c r="I8" s="20" t="s">
        <v>10</v>
      </c>
      <c r="J8" s="21" t="s">
        <v>62</v>
      </c>
      <c r="K8" s="21" t="s">
        <v>79</v>
      </c>
      <c r="L8" s="73" t="s">
        <v>80</v>
      </c>
      <c r="M8" s="73"/>
    </row>
    <row r="9" spans="1:13" s="23" customFormat="1" ht="86.4" x14ac:dyDescent="0.3">
      <c r="A9" s="20">
        <v>4</v>
      </c>
      <c r="B9" s="24" t="s">
        <v>23</v>
      </c>
      <c r="C9" s="21" t="s">
        <v>15</v>
      </c>
      <c r="D9" s="31">
        <v>2007</v>
      </c>
      <c r="E9" s="32">
        <v>40127</v>
      </c>
      <c r="F9" s="67">
        <v>20000</v>
      </c>
      <c r="G9" s="33" t="s">
        <v>99</v>
      </c>
      <c r="H9" s="33"/>
      <c r="I9" s="31" t="s">
        <v>10</v>
      </c>
      <c r="J9" s="21" t="s">
        <v>37</v>
      </c>
      <c r="K9" s="21" t="s">
        <v>81</v>
      </c>
      <c r="L9" s="21" t="s">
        <v>48</v>
      </c>
      <c r="M9" s="21" t="s">
        <v>47</v>
      </c>
    </row>
    <row r="10" spans="1:13" s="22" customFormat="1" ht="86.4" x14ac:dyDescent="0.3">
      <c r="A10" s="20">
        <v>5</v>
      </c>
      <c r="B10" s="72" t="s">
        <v>24</v>
      </c>
      <c r="C10" s="19" t="s">
        <v>12</v>
      </c>
      <c r="D10" s="20">
        <v>2000</v>
      </c>
      <c r="E10" s="30">
        <v>37216</v>
      </c>
      <c r="F10" s="29">
        <v>19000</v>
      </c>
      <c r="G10" s="29" t="s">
        <v>73</v>
      </c>
      <c r="H10" s="29"/>
      <c r="I10" s="20" t="s">
        <v>10</v>
      </c>
      <c r="J10" s="25" t="s">
        <v>38</v>
      </c>
      <c r="K10" s="25" t="s">
        <v>82</v>
      </c>
      <c r="L10" s="25" t="s">
        <v>49</v>
      </c>
      <c r="M10" s="25" t="s">
        <v>50</v>
      </c>
    </row>
    <row r="11" spans="1:13" s="22" customFormat="1" ht="43.2" x14ac:dyDescent="0.3">
      <c r="A11" s="20">
        <v>6</v>
      </c>
      <c r="B11" s="72"/>
      <c r="C11" s="19" t="s">
        <v>17</v>
      </c>
      <c r="D11" s="20">
        <v>2010</v>
      </c>
      <c r="E11" s="30">
        <v>41324</v>
      </c>
      <c r="F11" s="29">
        <v>6900</v>
      </c>
      <c r="G11" s="29" t="s">
        <v>88</v>
      </c>
      <c r="H11" s="29"/>
      <c r="I11" s="20" t="s">
        <v>10</v>
      </c>
      <c r="J11" s="21" t="s">
        <v>74</v>
      </c>
      <c r="K11" s="74" t="s">
        <v>123</v>
      </c>
      <c r="L11" s="75"/>
      <c r="M11" s="76"/>
    </row>
    <row r="12" spans="1:13" s="22" customFormat="1" x14ac:dyDescent="0.3">
      <c r="A12" s="20">
        <v>7</v>
      </c>
      <c r="B12" s="72" t="s">
        <v>31</v>
      </c>
      <c r="C12" s="19" t="s">
        <v>16</v>
      </c>
      <c r="D12" s="20">
        <v>2010</v>
      </c>
      <c r="E12" s="30">
        <v>40907</v>
      </c>
      <c r="F12" s="20">
        <v>400</v>
      </c>
      <c r="G12" s="20">
        <v>640</v>
      </c>
      <c r="H12" s="20"/>
      <c r="I12" s="20" t="s">
        <v>10</v>
      </c>
      <c r="J12" s="21" t="s">
        <v>42</v>
      </c>
      <c r="K12" s="73" t="s">
        <v>83</v>
      </c>
      <c r="L12" s="73"/>
      <c r="M12" s="73"/>
    </row>
    <row r="13" spans="1:13" s="22" customFormat="1" x14ac:dyDescent="0.3">
      <c r="A13" s="20">
        <v>8</v>
      </c>
      <c r="B13" s="72"/>
      <c r="C13" s="19" t="s">
        <v>14</v>
      </c>
      <c r="D13" s="20">
        <v>2004</v>
      </c>
      <c r="E13" s="20">
        <v>2005</v>
      </c>
      <c r="F13" s="20">
        <v>159</v>
      </c>
      <c r="G13" s="20">
        <v>160</v>
      </c>
      <c r="H13" s="20"/>
      <c r="I13" s="20" t="s">
        <v>10</v>
      </c>
      <c r="J13" s="25" t="s">
        <v>40</v>
      </c>
      <c r="K13" s="73" t="s">
        <v>84</v>
      </c>
      <c r="L13" s="73"/>
      <c r="M13" s="73"/>
    </row>
    <row r="14" spans="1:13" s="22" customFormat="1" ht="28.8" x14ac:dyDescent="0.3">
      <c r="A14" s="20">
        <v>9</v>
      </c>
      <c r="B14" s="72"/>
      <c r="C14" s="19" t="s">
        <v>21</v>
      </c>
      <c r="D14" s="20">
        <v>2014</v>
      </c>
      <c r="E14" s="30">
        <v>42817</v>
      </c>
      <c r="F14" s="29">
        <v>1300</v>
      </c>
      <c r="G14" s="29" t="s">
        <v>75</v>
      </c>
      <c r="H14" s="29"/>
      <c r="I14" s="20" t="s">
        <v>10</v>
      </c>
      <c r="J14" s="26" t="s">
        <v>43</v>
      </c>
      <c r="K14" s="73" t="s">
        <v>85</v>
      </c>
      <c r="L14" s="73"/>
      <c r="M14" s="73"/>
    </row>
    <row r="15" spans="1:13" s="22" customFormat="1" x14ac:dyDescent="0.3">
      <c r="A15" s="20">
        <v>10</v>
      </c>
      <c r="B15" s="72"/>
      <c r="C15" s="19" t="s">
        <v>26</v>
      </c>
      <c r="D15" s="20">
        <v>2016</v>
      </c>
      <c r="E15" s="20">
        <v>2017</v>
      </c>
      <c r="F15" s="29">
        <v>1071</v>
      </c>
      <c r="G15" s="29">
        <v>6400</v>
      </c>
      <c r="H15" s="29"/>
      <c r="I15" s="20" t="s">
        <v>10</v>
      </c>
      <c r="J15" s="26" t="s">
        <v>61</v>
      </c>
      <c r="K15" s="73" t="s">
        <v>86</v>
      </c>
      <c r="L15" s="78"/>
      <c r="M15" s="78"/>
    </row>
    <row r="16" spans="1:13" s="22" customFormat="1" ht="115.2" x14ac:dyDescent="0.3">
      <c r="A16" s="20">
        <v>11</v>
      </c>
      <c r="B16" s="24" t="s">
        <v>72</v>
      </c>
      <c r="C16" s="19" t="s">
        <v>13</v>
      </c>
      <c r="D16" s="20">
        <v>1999</v>
      </c>
      <c r="E16" s="30">
        <v>37364</v>
      </c>
      <c r="F16" s="29">
        <v>27850</v>
      </c>
      <c r="G16" s="20">
        <v>37.9</v>
      </c>
      <c r="H16" s="20"/>
      <c r="I16" s="20" t="s">
        <v>10</v>
      </c>
      <c r="J16" s="26" t="s">
        <v>41</v>
      </c>
      <c r="K16" s="21" t="s">
        <v>87</v>
      </c>
      <c r="L16" s="21" t="s">
        <v>51</v>
      </c>
      <c r="M16" s="21" t="s">
        <v>69</v>
      </c>
    </row>
    <row r="17" spans="1:13" x14ac:dyDescent="0.3">
      <c r="C17" s="48"/>
      <c r="F17" s="34">
        <f>SUM(F6:F16)</f>
        <v>124780</v>
      </c>
      <c r="G17" s="35">
        <f>SUM(G6:G16)</f>
        <v>9807.9</v>
      </c>
      <c r="H17" s="35"/>
      <c r="J17" s="10"/>
    </row>
    <row r="18" spans="1:13" ht="18" hidden="1" x14ac:dyDescent="0.3">
      <c r="A18" s="12" t="s">
        <v>32</v>
      </c>
      <c r="B18" s="13"/>
      <c r="G18" s="35"/>
      <c r="H18" s="35"/>
      <c r="J18" s="10"/>
    </row>
    <row r="19" spans="1:13" ht="28.8" hidden="1" x14ac:dyDescent="0.3">
      <c r="A19" s="77" t="s">
        <v>0</v>
      </c>
      <c r="B19" s="69" t="s">
        <v>28</v>
      </c>
      <c r="C19" s="77" t="s">
        <v>1</v>
      </c>
      <c r="D19" s="69" t="s">
        <v>2</v>
      </c>
      <c r="E19" s="69" t="s">
        <v>3</v>
      </c>
      <c r="F19" s="69" t="s">
        <v>4</v>
      </c>
      <c r="G19" s="18" t="s">
        <v>5</v>
      </c>
      <c r="H19" s="18"/>
      <c r="I19" s="18" t="s">
        <v>8</v>
      </c>
      <c r="J19" s="69" t="s">
        <v>30</v>
      </c>
      <c r="K19" s="69" t="s">
        <v>45</v>
      </c>
      <c r="L19" s="69"/>
      <c r="M19" s="69"/>
    </row>
    <row r="20" spans="1:13" ht="28.8" hidden="1" x14ac:dyDescent="0.3">
      <c r="A20" s="77"/>
      <c r="B20" s="69"/>
      <c r="C20" s="77"/>
      <c r="D20" s="69"/>
      <c r="E20" s="69"/>
      <c r="F20" s="69"/>
      <c r="G20" s="18" t="s">
        <v>6</v>
      </c>
      <c r="H20" s="18"/>
      <c r="I20" s="18" t="s">
        <v>9</v>
      </c>
      <c r="J20" s="69"/>
      <c r="K20" s="69"/>
      <c r="L20" s="69"/>
      <c r="M20" s="69"/>
    </row>
    <row r="21" spans="1:13" hidden="1" x14ac:dyDescent="0.3">
      <c r="A21" s="77"/>
      <c r="B21" s="69"/>
      <c r="C21" s="77"/>
      <c r="D21" s="69"/>
      <c r="E21" s="69"/>
      <c r="F21" s="69"/>
      <c r="G21" s="18" t="s">
        <v>7</v>
      </c>
      <c r="H21" s="18"/>
      <c r="I21" s="28"/>
      <c r="J21" s="69"/>
      <c r="K21" s="69"/>
      <c r="L21" s="69"/>
      <c r="M21" s="69"/>
    </row>
    <row r="22" spans="1:13" ht="86.4" hidden="1" x14ac:dyDescent="0.3">
      <c r="A22" s="15">
        <v>1</v>
      </c>
      <c r="B22" s="6" t="s">
        <v>27</v>
      </c>
      <c r="C22" s="3" t="s">
        <v>33</v>
      </c>
      <c r="D22" s="36"/>
      <c r="E22" s="37">
        <v>35735</v>
      </c>
      <c r="F22" s="38"/>
      <c r="G22" s="38"/>
      <c r="H22" s="38"/>
      <c r="I22" s="15" t="s">
        <v>10</v>
      </c>
      <c r="J22" s="11"/>
      <c r="K22" s="8" t="s">
        <v>55</v>
      </c>
      <c r="L22" s="8" t="s">
        <v>54</v>
      </c>
      <c r="M22" s="8" t="s">
        <v>53</v>
      </c>
    </row>
    <row r="23" spans="1:13" ht="28.8" hidden="1" x14ac:dyDescent="0.3">
      <c r="A23" s="15">
        <v>2</v>
      </c>
      <c r="B23" s="6" t="s">
        <v>59</v>
      </c>
      <c r="C23" s="3" t="s">
        <v>52</v>
      </c>
      <c r="D23" s="36"/>
      <c r="E23" s="37">
        <v>37043</v>
      </c>
      <c r="F23" s="38"/>
      <c r="G23" s="38"/>
      <c r="H23" s="38"/>
      <c r="I23" s="15" t="s">
        <v>10</v>
      </c>
      <c r="J23" s="11"/>
      <c r="K23" s="8" t="s">
        <v>56</v>
      </c>
      <c r="L23" s="8" t="s">
        <v>57</v>
      </c>
      <c r="M23" s="9"/>
    </row>
    <row r="24" spans="1:13" ht="18" x14ac:dyDescent="0.3">
      <c r="A24" s="1"/>
      <c r="B24" s="1"/>
    </row>
    <row r="25" spans="1:13" ht="18.600000000000001" thickBot="1" x14ac:dyDescent="0.35">
      <c r="A25" s="51" t="s">
        <v>25</v>
      </c>
      <c r="B25" s="51"/>
    </row>
    <row r="26" spans="1:13" ht="29.4" thickBot="1" x14ac:dyDescent="0.35">
      <c r="A26" s="70" t="s">
        <v>0</v>
      </c>
      <c r="B26" s="71" t="s">
        <v>35</v>
      </c>
      <c r="C26" s="70" t="s">
        <v>1</v>
      </c>
      <c r="D26" s="71" t="s">
        <v>2</v>
      </c>
      <c r="E26" s="71" t="s">
        <v>3</v>
      </c>
      <c r="F26" s="71" t="s">
        <v>18</v>
      </c>
      <c r="G26" s="49" t="s">
        <v>5</v>
      </c>
      <c r="H26" s="57" t="s">
        <v>96</v>
      </c>
      <c r="I26" s="49" t="s">
        <v>8</v>
      </c>
      <c r="J26" s="71" t="s">
        <v>30</v>
      </c>
      <c r="K26" s="71" t="s">
        <v>45</v>
      </c>
      <c r="L26" s="71"/>
      <c r="M26" s="71"/>
    </row>
    <row r="27" spans="1:13" ht="44.25" customHeight="1" thickBot="1" x14ac:dyDescent="0.35">
      <c r="A27" s="70"/>
      <c r="B27" s="71"/>
      <c r="C27" s="70"/>
      <c r="D27" s="71"/>
      <c r="E27" s="71"/>
      <c r="F27" s="71"/>
      <c r="G27" s="49" t="s">
        <v>6</v>
      </c>
      <c r="H27" s="58" t="s">
        <v>6</v>
      </c>
      <c r="I27" s="49" t="s">
        <v>9</v>
      </c>
      <c r="J27" s="71"/>
      <c r="K27" s="71"/>
      <c r="L27" s="71"/>
      <c r="M27" s="71"/>
    </row>
    <row r="28" spans="1:13" ht="15" thickBot="1" x14ac:dyDescent="0.35">
      <c r="A28" s="70"/>
      <c r="B28" s="71"/>
      <c r="C28" s="70"/>
      <c r="D28" s="71"/>
      <c r="E28" s="71"/>
      <c r="F28" s="71"/>
      <c r="G28" s="49" t="s">
        <v>7</v>
      </c>
      <c r="H28" s="58" t="s">
        <v>7</v>
      </c>
      <c r="I28" s="50"/>
      <c r="J28" s="71"/>
      <c r="K28" s="71"/>
      <c r="L28" s="71"/>
      <c r="M28" s="71"/>
    </row>
    <row r="29" spans="1:13" x14ac:dyDescent="0.3">
      <c r="A29" s="14">
        <v>1</v>
      </c>
      <c r="B29" s="82" t="s">
        <v>36</v>
      </c>
      <c r="C29" s="4" t="s">
        <v>60</v>
      </c>
      <c r="D29" s="14">
        <v>1993</v>
      </c>
      <c r="E29" s="14">
        <v>1995</v>
      </c>
      <c r="F29" s="39">
        <v>4134</v>
      </c>
      <c r="G29" s="59">
        <v>1300</v>
      </c>
      <c r="H29" s="39"/>
      <c r="I29" s="14" t="s">
        <v>22</v>
      </c>
      <c r="J29" s="46" t="s">
        <v>58</v>
      </c>
      <c r="K29" s="79" t="s">
        <v>71</v>
      </c>
      <c r="L29" s="80"/>
      <c r="M29" s="81"/>
    </row>
    <row r="30" spans="1:13" x14ac:dyDescent="0.3">
      <c r="A30" s="14">
        <v>2</v>
      </c>
      <c r="B30" s="83"/>
      <c r="C30" s="4" t="s">
        <v>89</v>
      </c>
      <c r="D30" s="14"/>
      <c r="E30" s="37">
        <v>35309</v>
      </c>
      <c r="F30" s="40">
        <v>15.84</v>
      </c>
      <c r="G30" s="59">
        <v>2500</v>
      </c>
      <c r="H30" s="39">
        <v>340.31</v>
      </c>
      <c r="I30" s="14" t="s">
        <v>22</v>
      </c>
      <c r="J30" s="4" t="s">
        <v>94</v>
      </c>
      <c r="K30" s="79" t="s">
        <v>90</v>
      </c>
      <c r="L30" s="80"/>
      <c r="M30" s="81"/>
    </row>
    <row r="31" spans="1:13" x14ac:dyDescent="0.3">
      <c r="A31" s="14">
        <v>3</v>
      </c>
      <c r="B31" s="83"/>
      <c r="C31" s="5" t="s">
        <v>117</v>
      </c>
      <c r="D31" s="17"/>
      <c r="E31" s="37">
        <v>35096</v>
      </c>
      <c r="F31" s="17">
        <v>33.619999999999997</v>
      </c>
      <c r="G31" s="59">
        <v>622</v>
      </c>
      <c r="H31" s="39">
        <v>394.34</v>
      </c>
      <c r="I31" s="14" t="s">
        <v>22</v>
      </c>
      <c r="J31" s="4" t="s">
        <v>94</v>
      </c>
      <c r="K31" s="79" t="s">
        <v>91</v>
      </c>
      <c r="L31" s="80"/>
      <c r="M31" s="81"/>
    </row>
    <row r="32" spans="1:13" ht="28.8" x14ac:dyDescent="0.3">
      <c r="A32" s="14">
        <v>4</v>
      </c>
      <c r="B32" s="83"/>
      <c r="C32" s="62" t="s">
        <v>34</v>
      </c>
      <c r="D32" s="14">
        <v>2016</v>
      </c>
      <c r="E32" s="41">
        <v>42899</v>
      </c>
      <c r="F32" s="39">
        <v>3800</v>
      </c>
      <c r="G32" s="59">
        <v>8000</v>
      </c>
      <c r="H32" s="39"/>
      <c r="I32" s="14" t="s">
        <v>22</v>
      </c>
      <c r="J32" s="4" t="s">
        <v>44</v>
      </c>
      <c r="K32" s="79" t="s">
        <v>95</v>
      </c>
      <c r="L32" s="80"/>
      <c r="M32" s="81"/>
    </row>
    <row r="33" spans="1:13" x14ac:dyDescent="0.3">
      <c r="A33" s="85">
        <v>5</v>
      </c>
      <c r="B33" s="83"/>
      <c r="C33" s="63" t="s">
        <v>64</v>
      </c>
      <c r="D33" s="87">
        <v>43009</v>
      </c>
      <c r="E33" s="90">
        <v>43369</v>
      </c>
      <c r="F33" s="39"/>
      <c r="G33" s="59"/>
      <c r="H33" s="54"/>
      <c r="I33" s="82" t="s">
        <v>22</v>
      </c>
      <c r="J33" s="96" t="s">
        <v>94</v>
      </c>
      <c r="K33" s="99" t="s">
        <v>92</v>
      </c>
      <c r="L33" s="100"/>
      <c r="M33" s="101"/>
    </row>
    <row r="34" spans="1:13" ht="28.2" customHeight="1" x14ac:dyDescent="0.3">
      <c r="A34" s="86"/>
      <c r="B34" s="83"/>
      <c r="C34" s="64" t="s">
        <v>65</v>
      </c>
      <c r="D34" s="88"/>
      <c r="E34" s="91"/>
      <c r="F34" s="42">
        <v>3.3</v>
      </c>
      <c r="G34" s="59">
        <v>12800</v>
      </c>
      <c r="H34" s="55"/>
      <c r="I34" s="83"/>
      <c r="J34" s="97"/>
      <c r="K34" s="102"/>
      <c r="L34" s="103"/>
      <c r="M34" s="104"/>
    </row>
    <row r="35" spans="1:13" ht="43.8" customHeight="1" x14ac:dyDescent="0.3">
      <c r="A35" s="16">
        <v>6</v>
      </c>
      <c r="B35" s="83"/>
      <c r="C35" s="64" t="s">
        <v>66</v>
      </c>
      <c r="D35" s="88"/>
      <c r="E35" s="91"/>
      <c r="F35" s="42">
        <v>75.2</v>
      </c>
      <c r="G35" s="59">
        <v>12800</v>
      </c>
      <c r="H35" s="55"/>
      <c r="I35" s="83"/>
      <c r="J35" s="97"/>
      <c r="K35" s="79" t="s">
        <v>93</v>
      </c>
      <c r="L35" s="80"/>
      <c r="M35" s="81"/>
    </row>
    <row r="36" spans="1:13" ht="44.4" customHeight="1" x14ac:dyDescent="0.3">
      <c r="A36" s="16">
        <v>7</v>
      </c>
      <c r="B36" s="83"/>
      <c r="C36" s="65" t="s">
        <v>67</v>
      </c>
      <c r="D36" s="89"/>
      <c r="E36" s="92"/>
      <c r="F36" s="42">
        <v>19.5</v>
      </c>
      <c r="G36" s="59">
        <v>12800</v>
      </c>
      <c r="H36" s="56"/>
      <c r="I36" s="84"/>
      <c r="J36" s="98"/>
      <c r="K36" s="79" t="s">
        <v>122</v>
      </c>
      <c r="L36" s="80"/>
      <c r="M36" s="81"/>
    </row>
    <row r="37" spans="1:13" ht="61.8" customHeight="1" x14ac:dyDescent="0.3">
      <c r="A37" s="16">
        <v>8</v>
      </c>
      <c r="B37" s="83"/>
      <c r="C37" s="66" t="s">
        <v>119</v>
      </c>
      <c r="D37" s="14">
        <v>2022</v>
      </c>
      <c r="E37" s="41">
        <v>45063</v>
      </c>
      <c r="F37" s="42">
        <v>35</v>
      </c>
      <c r="G37" s="59"/>
      <c r="H37" s="39"/>
      <c r="I37" s="95" t="s">
        <v>22</v>
      </c>
      <c r="J37" s="95" t="s">
        <v>94</v>
      </c>
      <c r="K37" s="94" t="s">
        <v>120</v>
      </c>
      <c r="L37" s="94"/>
      <c r="M37" s="94"/>
    </row>
    <row r="38" spans="1:13" ht="44.4" customHeight="1" x14ac:dyDescent="0.3">
      <c r="A38" s="16">
        <v>9</v>
      </c>
      <c r="B38" s="84"/>
      <c r="C38" s="66" t="s">
        <v>118</v>
      </c>
      <c r="D38" s="14">
        <v>2022</v>
      </c>
      <c r="E38" s="41">
        <v>45058</v>
      </c>
      <c r="F38" s="42">
        <v>30</v>
      </c>
      <c r="G38" s="59"/>
      <c r="H38" s="39"/>
      <c r="I38" s="95"/>
      <c r="J38" s="95"/>
      <c r="K38" s="94" t="s">
        <v>121</v>
      </c>
      <c r="L38" s="94"/>
      <c r="M38" s="94"/>
    </row>
    <row r="39" spans="1:13" x14ac:dyDescent="0.3">
      <c r="C39" s="93"/>
      <c r="F39" s="43">
        <f>SUM(F29:F38)</f>
        <v>8146.46</v>
      </c>
    </row>
    <row r="40" spans="1:13" x14ac:dyDescent="0.3">
      <c r="C40" s="93"/>
      <c r="F40" s="44">
        <f>+F39+F17</f>
        <v>132926.46</v>
      </c>
    </row>
  </sheetData>
  <mergeCells count="52">
    <mergeCell ref="C39:C40"/>
    <mergeCell ref="B29:B38"/>
    <mergeCell ref="K37:M37"/>
    <mergeCell ref="K38:M38"/>
    <mergeCell ref="I37:I38"/>
    <mergeCell ref="J37:J38"/>
    <mergeCell ref="J33:J36"/>
    <mergeCell ref="K33:M34"/>
    <mergeCell ref="K35:M35"/>
    <mergeCell ref="K36:M36"/>
    <mergeCell ref="A33:A34"/>
    <mergeCell ref="D33:D36"/>
    <mergeCell ref="E33:E36"/>
    <mergeCell ref="I33:I36"/>
    <mergeCell ref="J26:J28"/>
    <mergeCell ref="K26:M28"/>
    <mergeCell ref="K29:M29"/>
    <mergeCell ref="K30:M30"/>
    <mergeCell ref="K31:M31"/>
    <mergeCell ref="K32:M32"/>
    <mergeCell ref="A26:A28"/>
    <mergeCell ref="B26:B28"/>
    <mergeCell ref="C26:C28"/>
    <mergeCell ref="D26:D28"/>
    <mergeCell ref="E26:E28"/>
    <mergeCell ref="F26:F28"/>
    <mergeCell ref="F19:F21"/>
    <mergeCell ref="J19:J21"/>
    <mergeCell ref="K19:M21"/>
    <mergeCell ref="B12:B15"/>
    <mergeCell ref="K12:M12"/>
    <mergeCell ref="K13:M13"/>
    <mergeCell ref="K14:M14"/>
    <mergeCell ref="K15:M15"/>
    <mergeCell ref="A19:A21"/>
    <mergeCell ref="B19:B21"/>
    <mergeCell ref="C19:C21"/>
    <mergeCell ref="D19:D21"/>
    <mergeCell ref="E19:E21"/>
    <mergeCell ref="B6:B8"/>
    <mergeCell ref="L6:M6"/>
    <mergeCell ref="L8:M8"/>
    <mergeCell ref="B10:B11"/>
    <mergeCell ref="K11:M11"/>
    <mergeCell ref="A3:A5"/>
    <mergeCell ref="B3:B5"/>
    <mergeCell ref="C3:C5"/>
    <mergeCell ref="D3:D5"/>
    <mergeCell ref="E3:E5"/>
    <mergeCell ref="F3:F5"/>
    <mergeCell ref="J3:J5"/>
    <mergeCell ref="K3:M5"/>
  </mergeCells>
  <pageMargins left="0.70866141732283472" right="0.70866141732283472" top="0.74803149606299213" bottom="0.74803149606299213" header="0.31496062992125984" footer="0.31496062992125984"/>
  <pageSetup paperSize="9" scale="53" orientation="landscape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selection activeCell="H10" sqref="H10"/>
    </sheetView>
  </sheetViews>
  <sheetFormatPr defaultRowHeight="14.4" x14ac:dyDescent="0.3"/>
  <cols>
    <col min="1" max="1" width="8.88671875" style="53"/>
    <col min="2" max="2" width="19.44140625" style="53" bestFit="1" customWidth="1"/>
    <col min="3" max="3" width="22.109375" style="53" bestFit="1" customWidth="1"/>
    <col min="4" max="16384" width="8.88671875" style="53"/>
  </cols>
  <sheetData>
    <row r="1" spans="1:3" x14ac:dyDescent="0.3">
      <c r="A1" s="68" t="s">
        <v>136</v>
      </c>
    </row>
    <row r="2" spans="1:3" x14ac:dyDescent="0.3">
      <c r="A2" s="68"/>
    </row>
    <row r="3" spans="1:3" x14ac:dyDescent="0.3">
      <c r="A3" s="68" t="s">
        <v>124</v>
      </c>
    </row>
    <row r="4" spans="1:3" s="47" customFormat="1" ht="24.6" customHeight="1" x14ac:dyDescent="0.3">
      <c r="A4" s="61" t="s">
        <v>100</v>
      </c>
      <c r="B4" s="61" t="s">
        <v>101</v>
      </c>
      <c r="C4" s="61" t="s">
        <v>1</v>
      </c>
    </row>
    <row r="5" spans="1:3" x14ac:dyDescent="0.3">
      <c r="A5" s="82">
        <v>1</v>
      </c>
      <c r="B5" s="96" t="s">
        <v>102</v>
      </c>
      <c r="C5" s="7" t="s">
        <v>21</v>
      </c>
    </row>
    <row r="6" spans="1:3" x14ac:dyDescent="0.3">
      <c r="A6" s="83"/>
      <c r="B6" s="97"/>
      <c r="C6" s="7" t="s">
        <v>107</v>
      </c>
    </row>
    <row r="7" spans="1:3" x14ac:dyDescent="0.3">
      <c r="A7" s="83"/>
      <c r="B7" s="97"/>
      <c r="C7" s="7" t="s">
        <v>70</v>
      </c>
    </row>
    <row r="8" spans="1:3" x14ac:dyDescent="0.3">
      <c r="A8" s="84"/>
      <c r="B8" s="98"/>
      <c r="C8" s="7" t="s">
        <v>135</v>
      </c>
    </row>
    <row r="9" spans="1:3" x14ac:dyDescent="0.3">
      <c r="A9" s="82">
        <v>2</v>
      </c>
      <c r="B9" s="96" t="s">
        <v>103</v>
      </c>
      <c r="C9" s="7" t="s">
        <v>15</v>
      </c>
    </row>
    <row r="10" spans="1:3" x14ac:dyDescent="0.3">
      <c r="A10" s="83"/>
      <c r="B10" s="97"/>
      <c r="C10" s="7" t="s">
        <v>133</v>
      </c>
    </row>
    <row r="11" spans="1:3" x14ac:dyDescent="0.3">
      <c r="A11" s="83"/>
      <c r="B11" s="97"/>
      <c r="C11" s="7" t="s">
        <v>106</v>
      </c>
    </row>
    <row r="12" spans="1:3" x14ac:dyDescent="0.3">
      <c r="A12" s="83"/>
      <c r="B12" s="97"/>
      <c r="C12" s="7" t="s">
        <v>70</v>
      </c>
    </row>
    <row r="13" spans="1:3" x14ac:dyDescent="0.3">
      <c r="A13" s="84"/>
      <c r="B13" s="98"/>
      <c r="C13" s="7" t="s">
        <v>135</v>
      </c>
    </row>
    <row r="14" spans="1:3" x14ac:dyDescent="0.3">
      <c r="A14" s="82">
        <v>3</v>
      </c>
      <c r="B14" s="96" t="s">
        <v>105</v>
      </c>
      <c r="C14" s="7" t="s">
        <v>108</v>
      </c>
    </row>
    <row r="15" spans="1:3" x14ac:dyDescent="0.3">
      <c r="A15" s="83"/>
      <c r="B15" s="97"/>
      <c r="C15" s="7" t="s">
        <v>109</v>
      </c>
    </row>
    <row r="16" spans="1:3" x14ac:dyDescent="0.3">
      <c r="A16" s="83"/>
      <c r="B16" s="97"/>
      <c r="C16" s="7" t="s">
        <v>14</v>
      </c>
    </row>
    <row r="17" spans="1:3" x14ac:dyDescent="0.3">
      <c r="A17" s="84"/>
      <c r="B17" s="98"/>
      <c r="C17" s="7" t="s">
        <v>16</v>
      </c>
    </row>
    <row r="18" spans="1:3" x14ac:dyDescent="0.3">
      <c r="A18" s="82">
        <v>4</v>
      </c>
      <c r="B18" s="96" t="s">
        <v>104</v>
      </c>
      <c r="C18" s="7" t="s">
        <v>110</v>
      </c>
    </row>
    <row r="19" spans="1:3" x14ac:dyDescent="0.3">
      <c r="A19" s="83"/>
      <c r="B19" s="97"/>
      <c r="C19" s="7" t="s">
        <v>111</v>
      </c>
    </row>
    <row r="20" spans="1:3" x14ac:dyDescent="0.3">
      <c r="A20" s="83"/>
      <c r="B20" s="97"/>
      <c r="C20" s="7" t="s">
        <v>20</v>
      </c>
    </row>
    <row r="21" spans="1:3" x14ac:dyDescent="0.3">
      <c r="A21" s="84"/>
      <c r="B21" s="98"/>
      <c r="C21" s="7" t="s">
        <v>134</v>
      </c>
    </row>
    <row r="22" spans="1:3" x14ac:dyDescent="0.3">
      <c r="A22" s="82">
        <v>5</v>
      </c>
      <c r="B22" s="96" t="s">
        <v>112</v>
      </c>
      <c r="C22" s="7" t="s">
        <v>70</v>
      </c>
    </row>
    <row r="23" spans="1:3" x14ac:dyDescent="0.3">
      <c r="A23" s="84"/>
      <c r="B23" s="98"/>
      <c r="C23" s="7" t="s">
        <v>135</v>
      </c>
    </row>
    <row r="24" spans="1:3" x14ac:dyDescent="0.3">
      <c r="A24" s="82">
        <v>6</v>
      </c>
      <c r="B24" s="96" t="s">
        <v>113</v>
      </c>
      <c r="C24" s="7" t="s">
        <v>70</v>
      </c>
    </row>
    <row r="25" spans="1:3" x14ac:dyDescent="0.3">
      <c r="A25" s="84"/>
      <c r="B25" s="98"/>
      <c r="C25" s="7" t="s">
        <v>135</v>
      </c>
    </row>
    <row r="26" spans="1:3" x14ac:dyDescent="0.3">
      <c r="A26" s="82">
        <v>7</v>
      </c>
      <c r="B26" s="96" t="s">
        <v>114</v>
      </c>
      <c r="C26" s="7" t="s">
        <v>70</v>
      </c>
    </row>
    <row r="27" spans="1:3" x14ac:dyDescent="0.3">
      <c r="A27" s="84"/>
      <c r="B27" s="98"/>
      <c r="C27" s="7" t="s">
        <v>135</v>
      </c>
    </row>
    <row r="28" spans="1:3" x14ac:dyDescent="0.3">
      <c r="A28" s="82">
        <v>8</v>
      </c>
      <c r="B28" s="96" t="s">
        <v>116</v>
      </c>
      <c r="C28" s="7" t="s">
        <v>70</v>
      </c>
    </row>
    <row r="29" spans="1:3" x14ac:dyDescent="0.3">
      <c r="A29" s="84"/>
      <c r="B29" s="98"/>
      <c r="C29" s="7" t="s">
        <v>60</v>
      </c>
    </row>
    <row r="30" spans="1:3" x14ac:dyDescent="0.3">
      <c r="A30" s="16">
        <v>9</v>
      </c>
      <c r="B30" s="60" t="s">
        <v>115</v>
      </c>
      <c r="C30" s="7" t="s">
        <v>60</v>
      </c>
    </row>
    <row r="32" spans="1:3" x14ac:dyDescent="0.3">
      <c r="A32" s="68" t="s">
        <v>125</v>
      </c>
    </row>
    <row r="33" spans="1:3" x14ac:dyDescent="0.3">
      <c r="A33" s="61" t="s">
        <v>100</v>
      </c>
      <c r="B33" s="61" t="s">
        <v>101</v>
      </c>
      <c r="C33" s="61" t="s">
        <v>1</v>
      </c>
    </row>
    <row r="34" spans="1:3" x14ac:dyDescent="0.3">
      <c r="A34" s="14">
        <v>1</v>
      </c>
      <c r="B34" s="45" t="s">
        <v>131</v>
      </c>
      <c r="C34" s="7" t="s">
        <v>132</v>
      </c>
    </row>
    <row r="35" spans="1:3" x14ac:dyDescent="0.3">
      <c r="A35" s="105">
        <v>2</v>
      </c>
      <c r="B35" s="106" t="s">
        <v>126</v>
      </c>
      <c r="C35" s="7" t="s">
        <v>127</v>
      </c>
    </row>
    <row r="36" spans="1:3" x14ac:dyDescent="0.3">
      <c r="A36" s="105"/>
      <c r="B36" s="106"/>
      <c r="C36" s="7" t="s">
        <v>128</v>
      </c>
    </row>
    <row r="37" spans="1:3" x14ac:dyDescent="0.3">
      <c r="A37" s="14">
        <v>3</v>
      </c>
      <c r="B37" s="45" t="s">
        <v>129</v>
      </c>
      <c r="C37" s="7" t="s">
        <v>130</v>
      </c>
    </row>
  </sheetData>
  <mergeCells count="18">
    <mergeCell ref="B5:B8"/>
    <mergeCell ref="B9:B13"/>
    <mergeCell ref="B14:B17"/>
    <mergeCell ref="B18:B21"/>
    <mergeCell ref="A5:A8"/>
    <mergeCell ref="A9:A13"/>
    <mergeCell ref="A14:A17"/>
    <mergeCell ref="A18:A21"/>
    <mergeCell ref="A22:A23"/>
    <mergeCell ref="B22:B23"/>
    <mergeCell ref="B24:B25"/>
    <mergeCell ref="A35:A36"/>
    <mergeCell ref="B35:B36"/>
    <mergeCell ref="B26:B27"/>
    <mergeCell ref="B28:B29"/>
    <mergeCell ref="A24:A25"/>
    <mergeCell ref="A26:A27"/>
    <mergeCell ref="A28:A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info 2026</vt:lpstr>
      <vt:lpstr>CLS</vt:lpstr>
    </vt:vector>
  </TitlesOfParts>
  <Company>Alamat pejabat pengguna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Daud Mahyuddin</dc:creator>
  <cp:lastModifiedBy>Syuhada Binti Mohamed</cp:lastModifiedBy>
  <cp:lastPrinted>2016-01-05T01:55:44Z</cp:lastPrinted>
  <dcterms:created xsi:type="dcterms:W3CDTF">2015-12-09T03:17:54Z</dcterms:created>
  <dcterms:modified xsi:type="dcterms:W3CDTF">2026-01-26T08:49:56Z</dcterms:modified>
</cp:coreProperties>
</file>